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'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##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0F8FF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0" fillId="6" borderId="1" pivotButton="0" quotePrefix="0" xfId="0"/>
    <xf numFmtId="0" fontId="4" fillId="6" borderId="1" applyAlignment="1" pivotButton="0" quotePrefix="0" xfId="0">
      <alignment horizontal="center" vertical="center"/>
    </xf>
    <xf numFmtId="166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/>
    </xf>
    <xf numFmtId="3" fontId="1" fillId="3" borderId="1" applyAlignment="1" pivotButton="0" quotePrefix="0" xfId="0">
      <alignment horizontal="right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2" customWidth="1" min="4" max="4"/>
    <col width="13" customWidth="1" min="5" max="5"/>
    <col width="14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4" customWidth="1" min="12" max="12"/>
  </cols>
  <sheetData>
    <row r="1" ht="22" customHeight="1">
      <c r="A1" s="1" t="inlineStr">
        <is>
          <t>Bill by Order Date One Company  03/01/2026 - 03/31/2026  Diplat Korea</t>
        </is>
      </c>
    </row>
    <row r="2" ht="18" customHeight="1">
      <c r="A2" s="2" t="inlineStr">
        <is>
          <t>dateOrderPlcd</t>
        </is>
      </c>
      <c r="B2" s="2" t="inlineStr">
        <is>
          <t>Company</t>
        </is>
      </c>
      <c r="C2" s="2" t="inlineStr">
        <is>
          <t>PassengerName</t>
        </is>
      </c>
      <c r="D2" s="2" t="inlineStr">
        <is>
          <t>BKG_ref</t>
        </is>
      </c>
      <c r="E2" s="2" t="inlineStr">
        <is>
          <t>BI_order</t>
        </is>
      </c>
      <c r="F2" s="2" t="inlineStr">
        <is>
          <t>Show</t>
        </is>
      </c>
      <c r="G2" s="2" t="inlineStr">
        <is>
          <t>Quantity</t>
        </is>
      </c>
      <c r="H2" s="2" t="inlineStr">
        <is>
          <t>UnitPrice</t>
        </is>
      </c>
      <c r="I2" s="2" t="inlineStr">
        <is>
          <t>TotalSale</t>
        </is>
      </c>
      <c r="J2" s="2" t="inlineStr">
        <is>
          <t>Balance_Due</t>
        </is>
      </c>
      <c r="K2" s="2" t="inlineStr">
        <is>
          <t>KRW거래금액</t>
        </is>
      </c>
      <c r="L2" s="2" t="inlineStr">
        <is>
          <t>KRW정산금액</t>
        </is>
      </c>
    </row>
    <row r="3" ht="16" customHeight="1">
      <c r="A3" s="3" t="n">
        <v>46087</v>
      </c>
      <c r="B3" s="4" t="inlineStr">
        <is>
          <t>Diplat Korea</t>
        </is>
      </c>
      <c r="C3" s="4" t="inlineStr">
        <is>
          <t>Ji, Hyein</t>
        </is>
      </c>
      <c r="D3" s="4" t="inlineStr">
        <is>
          <t>BIW-1772831348751</t>
        </is>
      </c>
      <c r="E3" s="5" t="n">
        <v>495583532</v>
      </c>
      <c r="F3" s="4" t="inlineStr">
        <is>
          <t>WICKED3</t>
        </is>
      </c>
      <c r="G3" s="6" t="n">
        <v>2</v>
      </c>
      <c r="H3" s="6" t="n">
        <v>123</v>
      </c>
      <c r="I3" s="6" t="n">
        <v>246</v>
      </c>
      <c r="J3" s="6" t="n">
        <v>246</v>
      </c>
      <c r="K3" s="7" t="n">
        <v>417852</v>
      </c>
      <c r="L3" s="7" t="n">
        <v>409579</v>
      </c>
    </row>
    <row r="4" ht="16" customHeight="1">
      <c r="A4" s="8" t="n">
        <v>46089</v>
      </c>
      <c r="B4" s="9" t="inlineStr">
        <is>
          <t>Diplat Korea</t>
        </is>
      </c>
      <c r="C4" s="9" t="inlineStr">
        <is>
          <t>Cho, Saebyeok</t>
        </is>
      </c>
      <c r="D4" s="9" t="inlineStr">
        <is>
          <t>BIW-1772952539793</t>
        </is>
      </c>
      <c r="E4" s="10" t="n">
        <v>495753346</v>
      </c>
      <c r="F4" s="9" t="inlineStr">
        <is>
          <t>ALADDIN</t>
        </is>
      </c>
      <c r="G4" s="11" t="n">
        <v>1</v>
      </c>
      <c r="H4" s="11" t="n">
        <v>134</v>
      </c>
      <c r="I4" s="11" t="n">
        <v>134</v>
      </c>
      <c r="J4" s="11" t="n">
        <v>134</v>
      </c>
      <c r="K4" s="12" t="n">
        <v>227611</v>
      </c>
      <c r="L4" s="12" t="n">
        <v>223105</v>
      </c>
    </row>
    <row r="5" ht="16" customHeight="1">
      <c r="A5" s="3" t="n">
        <v>46089</v>
      </c>
      <c r="B5" s="4" t="inlineStr">
        <is>
          <t>Diplat Korea</t>
        </is>
      </c>
      <c r="C5" s="4" t="inlineStr">
        <is>
          <t>KIM, IN YOUNG</t>
        </is>
      </c>
      <c r="D5" s="4" t="inlineStr">
        <is>
          <t>BIW-1772986156371</t>
        </is>
      </c>
      <c r="E5" s="5" t="n">
        <v>495777852</v>
      </c>
      <c r="F5" s="4" t="inlineStr">
        <is>
          <t>ALADDIN</t>
        </is>
      </c>
      <c r="G5" s="6" t="n">
        <v>4</v>
      </c>
      <c r="H5" s="6" t="n">
        <v>187</v>
      </c>
      <c r="I5" s="6" t="n">
        <v>748</v>
      </c>
      <c r="J5" s="6" t="n">
        <v>748</v>
      </c>
      <c r="K5" s="7" t="n">
        <v>1314356</v>
      </c>
      <c r="L5" s="7" t="n">
        <v>1288332</v>
      </c>
    </row>
    <row r="6" ht="16" customHeight="1">
      <c r="A6" s="8" t="n">
        <v>46090</v>
      </c>
      <c r="B6" s="9" t="inlineStr">
        <is>
          <t>Diplat Korea</t>
        </is>
      </c>
      <c r="C6" s="9" t="inlineStr">
        <is>
          <t>Son, Hyeokchan</t>
        </is>
      </c>
      <c r="D6" s="9" t="inlineStr">
        <is>
          <t>BIW-1773073745191</t>
        </is>
      </c>
      <c r="E6" s="10" t="n">
        <v>495900392</v>
      </c>
      <c r="F6" s="9" t="inlineStr">
        <is>
          <t>ALADDIN</t>
        </is>
      </c>
      <c r="G6" s="11" t="n">
        <v>2</v>
      </c>
      <c r="H6" s="11" t="n">
        <v>93</v>
      </c>
      <c r="I6" s="11" t="n">
        <v>186</v>
      </c>
      <c r="J6" s="11" t="n">
        <v>186</v>
      </c>
      <c r="K6" s="12" t="n">
        <v>329108</v>
      </c>
      <c r="L6" s="12" t="n">
        <v>322593</v>
      </c>
    </row>
    <row r="7" ht="16" customHeight="1">
      <c r="A7" s="3" t="n">
        <v>46090</v>
      </c>
      <c r="B7" s="4" t="inlineStr">
        <is>
          <t>Diplat Korea</t>
        </is>
      </c>
      <c r="C7" s="4" t="inlineStr">
        <is>
          <t>KIM, JI HYUNG</t>
        </is>
      </c>
      <c r="D7" s="4" t="inlineStr">
        <is>
          <t>BIW-1773109741290</t>
        </is>
      </c>
      <c r="E7" s="5" t="n">
        <v>495976264</v>
      </c>
      <c r="F7" s="4" t="inlineStr">
        <is>
          <t>ALADDIN</t>
        </is>
      </c>
      <c r="G7" s="6" t="n">
        <v>2</v>
      </c>
      <c r="H7" s="6" t="n">
        <v>116</v>
      </c>
      <c r="I7" s="6" t="n">
        <v>232</v>
      </c>
      <c r="J7" s="6" t="n">
        <v>232</v>
      </c>
      <c r="K7" s="7" t="n">
        <v>410500</v>
      </c>
      <c r="L7" s="7" t="n">
        <v>402372</v>
      </c>
    </row>
    <row r="8" ht="16" customHeight="1">
      <c r="A8" s="8" t="n">
        <v>46090</v>
      </c>
      <c r="B8" s="9" t="inlineStr">
        <is>
          <t>Diplat Korea</t>
        </is>
      </c>
      <c r="C8" s="9" t="inlineStr">
        <is>
          <t>PARK, JIYONG</t>
        </is>
      </c>
      <c r="D8" s="9" t="inlineStr">
        <is>
          <t>BIW-1773113754059</t>
        </is>
      </c>
      <c r="E8" s="10" t="n">
        <v>495982170</v>
      </c>
      <c r="F8" s="9" t="inlineStr">
        <is>
          <t>ALADDIN</t>
        </is>
      </c>
      <c r="G8" s="11" t="n">
        <v>2</v>
      </c>
      <c r="H8" s="11" t="n">
        <v>122</v>
      </c>
      <c r="I8" s="11" t="n">
        <v>244</v>
      </c>
      <c r="J8" s="11" t="n">
        <v>244</v>
      </c>
      <c r="K8" s="12" t="n">
        <v>431734</v>
      </c>
      <c r="L8" s="12" t="n">
        <v>423186</v>
      </c>
    </row>
    <row r="9" ht="16" customHeight="1">
      <c r="A9" s="3" t="n">
        <v>46091</v>
      </c>
      <c r="B9" s="4" t="inlineStr">
        <is>
          <t>Diplat Korea</t>
        </is>
      </c>
      <c r="C9" s="4" t="inlineStr">
        <is>
          <t>seo, junho</t>
        </is>
      </c>
      <c r="D9" s="4" t="inlineStr">
        <is>
          <t>BIW-1773130714522</t>
        </is>
      </c>
      <c r="E9" s="5" t="n">
        <v>495988634</v>
      </c>
      <c r="F9" s="4" t="inlineStr">
        <is>
          <t>ALADDIN</t>
        </is>
      </c>
      <c r="G9" s="6" t="n">
        <v>2</v>
      </c>
      <c r="H9" s="6" t="n">
        <v>122</v>
      </c>
      <c r="I9" s="6" t="n">
        <v>244</v>
      </c>
      <c r="J9" s="6" t="n">
        <v>244</v>
      </c>
      <c r="K9" s="7" t="n">
        <v>431734</v>
      </c>
      <c r="L9" s="7" t="n">
        <v>423186</v>
      </c>
    </row>
    <row r="10" ht="16" customHeight="1">
      <c r="A10" s="8" t="n">
        <v>46092</v>
      </c>
      <c r="B10" s="9" t="inlineStr">
        <is>
          <t>Diplat Korea</t>
        </is>
      </c>
      <c r="C10" s="9" t="inlineStr">
        <is>
          <t>Kim, Seonghyeon</t>
        </is>
      </c>
      <c r="D10" s="9" t="inlineStr">
        <is>
          <t>BIW-1773211718424</t>
        </is>
      </c>
      <c r="E10" s="10" t="n">
        <v>496165156</v>
      </c>
      <c r="F10" s="9" t="inlineStr">
        <is>
          <t>CURSEDCHIL</t>
        </is>
      </c>
      <c r="G10" s="11" t="n">
        <v>2</v>
      </c>
      <c r="H10" s="11" t="n">
        <v>159</v>
      </c>
      <c r="I10" s="11" t="n">
        <v>318</v>
      </c>
      <c r="J10" s="11" t="n">
        <v>318</v>
      </c>
      <c r="K10" s="12" t="n">
        <v>569766</v>
      </c>
      <c r="L10" s="12" t="n">
        <v>558485</v>
      </c>
    </row>
    <row r="11" ht="16" customHeight="1">
      <c r="A11" s="3" t="n">
        <v>46092</v>
      </c>
      <c r="B11" s="4" t="inlineStr">
        <is>
          <t>Diplat Korea</t>
        </is>
      </c>
      <c r="C11" s="4" t="inlineStr">
        <is>
          <t>Kwon, Yujin</t>
        </is>
      </c>
      <c r="D11" s="4" t="inlineStr">
        <is>
          <t>BIW-1773241541215</t>
        </is>
      </c>
      <c r="E11" s="5" t="n">
        <v>496194584</v>
      </c>
      <c r="F11" s="4" t="inlineStr">
        <is>
          <t>ALADDIN</t>
        </is>
      </c>
      <c r="G11" s="6" t="n">
        <v>2</v>
      </c>
      <c r="H11" s="6" t="n">
        <v>93</v>
      </c>
      <c r="I11" s="6" t="n">
        <v>186</v>
      </c>
      <c r="J11" s="6" t="n">
        <v>186</v>
      </c>
      <c r="K11" s="7" t="n">
        <v>333260</v>
      </c>
      <c r="L11" s="7" t="n">
        <v>326662</v>
      </c>
    </row>
    <row r="12" ht="16" customHeight="1">
      <c r="A12" s="8" t="n">
        <v>46092</v>
      </c>
      <c r="B12" s="9" t="inlineStr">
        <is>
          <t>Diplat Korea</t>
        </is>
      </c>
      <c r="C12" s="9" t="inlineStr">
        <is>
          <t>Ko, Yujin</t>
        </is>
      </c>
      <c r="D12" s="9" t="inlineStr">
        <is>
          <t>BIW-1773252555731</t>
        </is>
      </c>
      <c r="E12" s="10" t="n">
        <v>496232394</v>
      </c>
      <c r="F12" s="9" t="inlineStr">
        <is>
          <t>ALADDIN</t>
        </is>
      </c>
      <c r="G12" s="11" t="n">
        <v>2</v>
      </c>
      <c r="H12" s="11" t="n">
        <v>93</v>
      </c>
      <c r="I12" s="11" t="n">
        <v>186</v>
      </c>
      <c r="J12" s="11" t="n">
        <v>186</v>
      </c>
      <c r="K12" s="12" t="n">
        <v>333260</v>
      </c>
      <c r="L12" s="12" t="n">
        <v>326662</v>
      </c>
    </row>
    <row r="13" ht="16" customHeight="1">
      <c r="A13" s="3" t="n">
        <v>46092</v>
      </c>
      <c r="B13" s="4" t="inlineStr">
        <is>
          <t>Diplat Korea</t>
        </is>
      </c>
      <c r="C13" s="4" t="inlineStr">
        <is>
          <t>WOO, SU JUNG</t>
        </is>
      </c>
      <c r="D13" s="4" t="inlineStr">
        <is>
          <t>BIW-1773256655168</t>
        </is>
      </c>
      <c r="E13" s="5" t="n">
        <v>496249928</v>
      </c>
      <c r="F13" s="4" t="inlineStr">
        <is>
          <t>ALADDIN</t>
        </is>
      </c>
      <c r="G13" s="6" t="n">
        <v>4</v>
      </c>
      <c r="H13" s="6" t="n">
        <v>134</v>
      </c>
      <c r="I13" s="6" t="n">
        <v>536</v>
      </c>
      <c r="J13" s="6" t="n">
        <v>536</v>
      </c>
      <c r="K13" s="7" t="n">
        <v>960360</v>
      </c>
      <c r="L13" s="7" t="n">
        <v>941345</v>
      </c>
    </row>
    <row r="14" ht="16" customHeight="1">
      <c r="A14" s="8" t="n">
        <v>46093</v>
      </c>
      <c r="B14" s="9" t="inlineStr">
        <is>
          <t>Diplat Korea</t>
        </is>
      </c>
      <c r="C14" s="9" t="inlineStr">
        <is>
          <t>KANG, HYUN</t>
        </is>
      </c>
      <c r="D14" s="9" t="inlineStr">
        <is>
          <t>BIW-1773325731899</t>
        </is>
      </c>
      <c r="E14" s="10" t="n">
        <v>496352016</v>
      </c>
      <c r="F14" s="9" t="inlineStr">
        <is>
          <t>ALADDIN</t>
        </is>
      </c>
      <c r="G14" s="11" t="n">
        <v>4</v>
      </c>
      <c r="H14" s="11" t="n">
        <v>134</v>
      </c>
      <c r="I14" s="11" t="n">
        <v>536</v>
      </c>
      <c r="J14" s="11" t="n">
        <v>536</v>
      </c>
      <c r="K14" s="12" t="n">
        <v>951632</v>
      </c>
      <c r="L14" s="12" t="n">
        <v>932790</v>
      </c>
    </row>
    <row r="15" ht="16" customHeight="1">
      <c r="A15" s="3" t="n">
        <v>46096</v>
      </c>
      <c r="B15" s="4" t="inlineStr">
        <is>
          <t>Diplat Korea</t>
        </is>
      </c>
      <c r="C15" s="4" t="inlineStr">
        <is>
          <t>seo, dahae</t>
        </is>
      </c>
      <c r="D15" s="4" t="inlineStr">
        <is>
          <t>BIW-1773571075640</t>
        </is>
      </c>
      <c r="E15" s="5" t="n">
        <v>496845952</v>
      </c>
      <c r="F15" s="4" t="inlineStr">
        <is>
          <t>WICKED3</t>
        </is>
      </c>
      <c r="G15" s="6" t="n">
        <v>2</v>
      </c>
      <c r="H15" s="6" t="n">
        <v>163</v>
      </c>
      <c r="I15" s="6" t="n">
        <v>326</v>
      </c>
      <c r="J15" s="6" t="n">
        <v>326</v>
      </c>
      <c r="K15" s="7" t="n">
        <v>578898</v>
      </c>
      <c r="L15" s="7" t="n">
        <v>567436</v>
      </c>
    </row>
    <row r="16" ht="16" customHeight="1">
      <c r="A16" s="8" t="n">
        <v>46096</v>
      </c>
      <c r="B16" s="9" t="inlineStr">
        <is>
          <t>Diplat Korea</t>
        </is>
      </c>
      <c r="C16" s="9" t="inlineStr">
        <is>
          <t>Kim, Hana</t>
        </is>
      </c>
      <c r="D16" s="9" t="inlineStr">
        <is>
          <t>BIW-1773590311579</t>
        </is>
      </c>
      <c r="E16" s="10" t="n">
        <v>496874432</v>
      </c>
      <c r="F16" s="9" t="inlineStr">
        <is>
          <t>ALADDIN</t>
        </is>
      </c>
      <c r="G16" s="11" t="n">
        <v>2</v>
      </c>
      <c r="H16" s="11" t="n">
        <v>93</v>
      </c>
      <c r="I16" s="11" t="n">
        <v>186</v>
      </c>
      <c r="J16" s="11" t="n">
        <v>186</v>
      </c>
      <c r="K16" s="12" t="n">
        <v>330292</v>
      </c>
      <c r="L16" s="12" t="n">
        <v>323752</v>
      </c>
    </row>
    <row r="17" ht="16" customHeight="1">
      <c r="A17" s="3" t="n">
        <v>46098</v>
      </c>
      <c r="B17" s="4" t="inlineStr">
        <is>
          <t>Diplat Korea</t>
        </is>
      </c>
      <c r="C17" s="4" t="inlineStr">
        <is>
          <t>CHO, SEUNGLAE</t>
        </is>
      </c>
      <c r="D17" s="4" t="inlineStr">
        <is>
          <t>BIW-1773733739944</t>
        </is>
      </c>
      <c r="E17" s="5" t="n">
        <v>497128782</v>
      </c>
      <c r="F17" s="4" t="inlineStr">
        <is>
          <t>ALADDIN</t>
        </is>
      </c>
      <c r="G17" s="6" t="n">
        <v>2</v>
      </c>
      <c r="H17" s="6" t="n">
        <v>233</v>
      </c>
      <c r="I17" s="6" t="n">
        <v>466</v>
      </c>
      <c r="J17" s="6" t="n">
        <v>466</v>
      </c>
      <c r="K17" s="7" t="n">
        <v>832928</v>
      </c>
      <c r="L17" s="7" t="n">
        <v>816437</v>
      </c>
    </row>
    <row r="18" ht="16" customHeight="1">
      <c r="A18" s="8" t="n">
        <v>46098</v>
      </c>
      <c r="B18" s="9" t="inlineStr">
        <is>
          <t>Diplat Korea</t>
        </is>
      </c>
      <c r="C18" s="9" t="inlineStr">
        <is>
          <t>KOO, DOKYUNG</t>
        </is>
      </c>
      <c r="D18" s="9" t="inlineStr">
        <is>
          <t>BIW-1773738229881</t>
        </is>
      </c>
      <c r="E18" s="10" t="n">
        <v>497129456</v>
      </c>
      <c r="F18" s="9" t="inlineStr">
        <is>
          <t>ALADDIN</t>
        </is>
      </c>
      <c r="G18" s="11" t="n">
        <v>2</v>
      </c>
      <c r="H18" s="11" t="n">
        <v>113</v>
      </c>
      <c r="I18" s="11" t="n">
        <v>226</v>
      </c>
      <c r="J18" s="11" t="n">
        <v>226</v>
      </c>
      <c r="K18" s="12" t="n">
        <v>403952</v>
      </c>
      <c r="L18" s="12" t="n">
        <v>395954</v>
      </c>
    </row>
    <row r="19" ht="16" customHeight="1">
      <c r="A19" s="3" t="n">
        <v>46098</v>
      </c>
      <c r="B19" s="4" t="inlineStr">
        <is>
          <t>Diplat Korea</t>
        </is>
      </c>
      <c r="C19" s="4" t="inlineStr">
        <is>
          <t>YOUN, YEONGJO</t>
        </is>
      </c>
      <c r="D19" s="4" t="inlineStr">
        <is>
          <t>BIW-1773739239744</t>
        </is>
      </c>
      <c r="E19" s="5" t="n">
        <v>497129736</v>
      </c>
      <c r="F19" s="4" t="inlineStr">
        <is>
          <t>ALADDIN</t>
        </is>
      </c>
      <c r="G19" s="6" t="n">
        <v>2</v>
      </c>
      <c r="H19" s="6" t="n">
        <v>116</v>
      </c>
      <c r="I19" s="6" t="n">
        <v>232</v>
      </c>
      <c r="J19" s="6" t="n">
        <v>232</v>
      </c>
      <c r="K19" s="7" t="n">
        <v>414676</v>
      </c>
      <c r="L19" s="7" t="n">
        <v>406466</v>
      </c>
    </row>
    <row r="20" ht="16" customHeight="1">
      <c r="A20" s="8" t="n">
        <v>46098</v>
      </c>
      <c r="B20" s="9" t="inlineStr">
        <is>
          <t>Diplat Korea</t>
        </is>
      </c>
      <c r="C20" s="9" t="inlineStr">
        <is>
          <t>CHO, SEUNGLAE</t>
        </is>
      </c>
      <c r="D20" s="9" t="inlineStr">
        <is>
          <t>BIW-1773756710492</t>
        </is>
      </c>
      <c r="E20" s="10" t="n">
        <v>497144092</v>
      </c>
      <c r="F20" s="9" t="inlineStr">
        <is>
          <t>CHICAGO</t>
        </is>
      </c>
      <c r="G20" s="11" t="n">
        <v>2</v>
      </c>
      <c r="H20" s="11" t="n">
        <v>208</v>
      </c>
      <c r="I20" s="11" t="n">
        <v>416</v>
      </c>
      <c r="J20" s="11" t="n">
        <v>416</v>
      </c>
      <c r="K20" s="12" t="n">
        <v>743558</v>
      </c>
      <c r="L20" s="12" t="n">
        <v>728836</v>
      </c>
    </row>
    <row r="21" ht="16" customHeight="1">
      <c r="A21" s="3" t="n">
        <v>46098</v>
      </c>
      <c r="B21" s="4" t="inlineStr">
        <is>
          <t>Diplat Korea</t>
        </is>
      </c>
      <c r="C21" s="4" t="inlineStr">
        <is>
          <t>CHO, Sung Jae</t>
        </is>
      </c>
      <c r="D21" s="4" t="inlineStr">
        <is>
          <t>BIW-1773803777111</t>
        </is>
      </c>
      <c r="E21" s="5" t="n">
        <v>497254342</v>
      </c>
      <c r="F21" s="4" t="inlineStr">
        <is>
          <t>MJMUSICAL3</t>
        </is>
      </c>
      <c r="G21" s="6" t="n">
        <v>2</v>
      </c>
      <c r="H21" s="6" t="n">
        <v>197</v>
      </c>
      <c r="I21" s="6" t="n">
        <v>394</v>
      </c>
      <c r="J21" s="6" t="n">
        <v>394</v>
      </c>
      <c r="K21" s="7" t="n">
        <v>707308</v>
      </c>
      <c r="L21" s="7" t="n">
        <v>693304</v>
      </c>
    </row>
    <row r="22" ht="16" customHeight="1">
      <c r="A22" s="8" t="n">
        <v>46101</v>
      </c>
      <c r="B22" s="9" t="inlineStr">
        <is>
          <t>Diplat Korea</t>
        </is>
      </c>
      <c r="C22" s="9" t="inlineStr">
        <is>
          <t>LEE, YOUNGJOO</t>
        </is>
      </c>
      <c r="D22" s="9" t="inlineStr">
        <is>
          <t>BIW-1773995919634</t>
        </is>
      </c>
      <c r="E22" s="10" t="n">
        <v>497573782</v>
      </c>
      <c r="F22" s="9" t="inlineStr">
        <is>
          <t>HAMILTON3</t>
        </is>
      </c>
      <c r="G22" s="11" t="n">
        <v>2</v>
      </c>
      <c r="H22" s="11" t="n">
        <v>347.7</v>
      </c>
      <c r="I22" s="11" t="n">
        <v>695.4</v>
      </c>
      <c r="J22" s="11" t="n">
        <v>695.4</v>
      </c>
      <c r="K22" s="12" t="n">
        <v>1240038</v>
      </c>
      <c r="L22" s="12" t="n">
        <v>1215486</v>
      </c>
    </row>
    <row r="23" ht="16" customHeight="1">
      <c r="A23" s="3" t="n">
        <v>46102</v>
      </c>
      <c r="B23" s="4" t="inlineStr">
        <is>
          <t>Diplat Korea</t>
        </is>
      </c>
      <c r="C23" s="4" t="inlineStr">
        <is>
          <t>Jeong, Haerim</t>
        </is>
      </c>
      <c r="D23" s="4" t="inlineStr">
        <is>
          <t>BIW-1774080229432</t>
        </is>
      </c>
      <c r="E23" s="5" t="n">
        <v>497707310</v>
      </c>
      <c r="F23" s="4" t="inlineStr">
        <is>
          <t>LIONKING3</t>
        </is>
      </c>
      <c r="G23" s="6" t="n">
        <v>2</v>
      </c>
      <c r="H23" s="6" t="n">
        <v>277</v>
      </c>
      <c r="I23" s="6" t="n">
        <v>554</v>
      </c>
      <c r="J23" s="6" t="n">
        <v>554</v>
      </c>
      <c r="K23" s="7" t="n">
        <v>997000</v>
      </c>
      <c r="L23" s="7" t="n">
        <v>977259</v>
      </c>
    </row>
    <row r="24" ht="16" customHeight="1">
      <c r="A24" s="8" t="n">
        <v>46103</v>
      </c>
      <c r="B24" s="9" t="inlineStr">
        <is>
          <t>Diplat Korea</t>
        </is>
      </c>
      <c r="C24" s="9" t="inlineStr">
        <is>
          <t>Hong, Heeeun</t>
        </is>
      </c>
      <c r="D24" s="9" t="inlineStr">
        <is>
          <t>BIW-1774152626898</t>
        </is>
      </c>
      <c r="E24" s="10" t="n">
        <v>497820244</v>
      </c>
      <c r="F24" s="9" t="inlineStr">
        <is>
          <t>ALADDIN</t>
        </is>
      </c>
      <c r="G24" s="11" t="n">
        <v>3</v>
      </c>
      <c r="H24" s="11" t="n">
        <v>197</v>
      </c>
      <c r="I24" s="11" t="n">
        <v>591</v>
      </c>
      <c r="J24" s="11" t="n">
        <v>591</v>
      </c>
      <c r="K24" s="12" t="n">
        <v>1063587</v>
      </c>
      <c r="L24" s="12" t="n">
        <v>1042529</v>
      </c>
    </row>
    <row r="25" ht="16" customHeight="1">
      <c r="A25" s="3" t="n">
        <v>46103</v>
      </c>
      <c r="B25" s="4" t="inlineStr">
        <is>
          <t>Diplat Korea</t>
        </is>
      </c>
      <c r="C25" s="4" t="inlineStr">
        <is>
          <t>PARK, SOYOUNG</t>
        </is>
      </c>
      <c r="D25" s="4" t="inlineStr">
        <is>
          <t>BIW-1774155086075</t>
        </is>
      </c>
      <c r="E25" s="5" t="n">
        <v>497822004</v>
      </c>
      <c r="F25" s="4" t="inlineStr">
        <is>
          <t>WICKED3</t>
        </is>
      </c>
      <c r="G25" s="6" t="n">
        <v>3</v>
      </c>
      <c r="H25" s="6" t="n">
        <v>123</v>
      </c>
      <c r="I25" s="6" t="n">
        <v>369</v>
      </c>
      <c r="J25" s="6" t="n">
        <v>369</v>
      </c>
      <c r="K25" s="7" t="n">
        <v>664068</v>
      </c>
      <c r="L25" s="7" t="n">
        <v>650920</v>
      </c>
    </row>
    <row r="26" ht="16" customHeight="1">
      <c r="A26" s="8" t="n">
        <v>46103</v>
      </c>
      <c r="B26" s="9" t="inlineStr">
        <is>
          <t>Diplat Korea</t>
        </is>
      </c>
      <c r="C26" s="9" t="inlineStr">
        <is>
          <t>LEE, WOOYEON</t>
        </is>
      </c>
      <c r="D26" s="9" t="inlineStr">
        <is>
          <t>BIW-1774173631621</t>
        </is>
      </c>
      <c r="E26" s="10" t="n">
        <v>497826842</v>
      </c>
      <c r="F26" s="9" t="inlineStr">
        <is>
          <t>ALADDIN</t>
        </is>
      </c>
      <c r="G26" s="11" t="n">
        <v>2</v>
      </c>
      <c r="H26" s="11" t="n">
        <v>105</v>
      </c>
      <c r="I26" s="11" t="n">
        <v>210</v>
      </c>
      <c r="J26" s="11" t="n">
        <v>210</v>
      </c>
      <c r="K26" s="12" t="n">
        <v>377924</v>
      </c>
      <c r="L26" s="12" t="n">
        <v>370442</v>
      </c>
    </row>
    <row r="27" ht="16" customHeight="1">
      <c r="A27" s="3" t="n">
        <v>46105</v>
      </c>
      <c r="B27" s="4" t="inlineStr">
        <is>
          <t>Diplat Korea</t>
        </is>
      </c>
      <c r="C27" s="4" t="inlineStr">
        <is>
          <t>Lee, Jeongmin</t>
        </is>
      </c>
      <c r="D27" s="4" t="inlineStr">
        <is>
          <t>BIW-1774393502666</t>
        </is>
      </c>
      <c r="E27" s="5" t="n">
        <v>498215148</v>
      </c>
      <c r="F27" s="4" t="inlineStr">
        <is>
          <t>ALADDIN</t>
        </is>
      </c>
      <c r="G27" s="6" t="n">
        <v>2</v>
      </c>
      <c r="H27" s="6" t="n">
        <v>93</v>
      </c>
      <c r="I27" s="6" t="n">
        <v>186</v>
      </c>
      <c r="J27" s="6" t="n">
        <v>186</v>
      </c>
      <c r="K27" s="7" t="n">
        <v>336942</v>
      </c>
      <c r="L27" s="7" t="n">
        <v>330272</v>
      </c>
    </row>
    <row r="28" ht="16" customHeight="1">
      <c r="A28" s="8" t="n">
        <v>46106</v>
      </c>
      <c r="B28" s="9" t="inlineStr">
        <is>
          <t>Diplat Korea</t>
        </is>
      </c>
      <c r="C28" s="9" t="inlineStr">
        <is>
          <t>SUNG, YUNA</t>
        </is>
      </c>
      <c r="D28" s="9" t="inlineStr">
        <is>
          <t>BIW-1774486815081</t>
        </is>
      </c>
      <c r="E28" s="10" t="n">
        <v>498376412</v>
      </c>
      <c r="F28" s="9" t="inlineStr">
        <is>
          <t>ALADDIN</t>
        </is>
      </c>
      <c r="G28" s="11" t="n">
        <v>1</v>
      </c>
      <c r="H28" s="11" t="n">
        <v>197</v>
      </c>
      <c r="I28" s="11" t="n">
        <v>197</v>
      </c>
      <c r="J28" s="11" t="n">
        <v>197</v>
      </c>
      <c r="K28" s="12" t="n">
        <v>354198</v>
      </c>
      <c r="L28" s="12" t="n">
        <v>347185</v>
      </c>
    </row>
    <row r="29" ht="16" customHeight="1">
      <c r="A29" s="3" t="n">
        <v>46107</v>
      </c>
      <c r="B29" s="4" t="inlineStr">
        <is>
          <t>Diplat Korea</t>
        </is>
      </c>
      <c r="C29" s="4" t="inlineStr">
        <is>
          <t>Kim, Donguk</t>
        </is>
      </c>
      <c r="D29" s="4" t="inlineStr">
        <is>
          <t>BIW-1774530234697</t>
        </is>
      </c>
      <c r="E29" s="5" t="n">
        <v>498407276</v>
      </c>
      <c r="F29" s="4" t="inlineStr">
        <is>
          <t>ALADDIN</t>
        </is>
      </c>
      <c r="G29" s="6" t="n">
        <v>2</v>
      </c>
      <c r="H29" s="6" t="n">
        <v>122</v>
      </c>
      <c r="I29" s="6" t="n">
        <v>244</v>
      </c>
      <c r="J29" s="6" t="n">
        <v>244</v>
      </c>
      <c r="K29" s="7" t="n">
        <v>438702</v>
      </c>
      <c r="L29" s="7" t="n">
        <v>430016</v>
      </c>
    </row>
    <row r="30" ht="16" customHeight="1">
      <c r="A30" s="8" t="n">
        <v>46109</v>
      </c>
      <c r="B30" s="9" t="inlineStr">
        <is>
          <t>Diplat Korea</t>
        </is>
      </c>
      <c r="C30" s="9" t="inlineStr">
        <is>
          <t>MO, KEONWOOK</t>
        </is>
      </c>
      <c r="D30" s="9" t="inlineStr">
        <is>
          <t>BIW-1774681414427</t>
        </is>
      </c>
      <c r="E30" s="10" t="n">
        <v>498738510</v>
      </c>
      <c r="F30" s="9" t="inlineStr">
        <is>
          <t>ALADDIN</t>
        </is>
      </c>
      <c r="G30" s="11" t="n">
        <v>2</v>
      </c>
      <c r="H30" s="11" t="n">
        <v>134</v>
      </c>
      <c r="I30" s="11" t="n">
        <v>268</v>
      </c>
      <c r="J30" s="11" t="n">
        <v>268</v>
      </c>
      <c r="K30" s="12" t="n">
        <v>484394</v>
      </c>
      <c r="L30" s="12" t="n">
        <v>474803</v>
      </c>
    </row>
    <row r="31" ht="16" customHeight="1">
      <c r="A31" s="3" t="n">
        <v>46112</v>
      </c>
      <c r="B31" s="4" t="inlineStr">
        <is>
          <t>Diplat Korea</t>
        </is>
      </c>
      <c r="C31" s="4" t="inlineStr">
        <is>
          <t>Baek, Hyeongjun</t>
        </is>
      </c>
      <c r="D31" s="4" t="inlineStr">
        <is>
          <t>BIW-1775009127935</t>
        </is>
      </c>
      <c r="E31" s="5" t="n">
        <v>499282564</v>
      </c>
      <c r="F31" s="4" t="inlineStr">
        <is>
          <t>ALADDIN</t>
        </is>
      </c>
      <c r="G31" s="6" t="n">
        <v>2</v>
      </c>
      <c r="H31" s="6" t="n">
        <v>187</v>
      </c>
      <c r="I31" s="6" t="n">
        <v>374</v>
      </c>
      <c r="J31" s="6" t="n">
        <v>374</v>
      </c>
      <c r="K31" s="13" t="n"/>
      <c r="L31" s="13" t="n"/>
    </row>
    <row r="32" ht="18" customHeight="1">
      <c r="A32" s="14" t="n"/>
      <c r="B32" s="15" t="inlineStr">
        <is>
          <t>Total</t>
        </is>
      </c>
      <c r="C32" s="14" t="n"/>
      <c r="D32" s="14" t="n"/>
      <c r="E32" s="14" t="n"/>
      <c r="F32" s="14" t="n"/>
      <c r="G32" s="16">
        <f>SUM(G3:G31)</f>
        <v/>
      </c>
      <c r="H32" s="14" t="n"/>
      <c r="I32" s="16">
        <f>SUM(I3:I31)</f>
        <v/>
      </c>
      <c r="J32" s="16">
        <f>SUM(J3:J31)</f>
        <v/>
      </c>
      <c r="K32" s="17">
        <f>SUM(K3:K31)</f>
        <v/>
      </c>
      <c r="L32" s="17">
        <f>SUM(L3:L31)</f>
        <v/>
      </c>
    </row>
    <row r="33" ht="17" customHeight="1">
      <c r="A33" s="18" t="inlineStr"/>
      <c r="J33" s="19" t="n"/>
      <c r="K33" s="20" t="n"/>
      <c r="L33" s="20" t="n"/>
    </row>
    <row r="34" ht="17" customHeight="1">
      <c r="A34" s="18" t="inlineStr">
        <is>
          <t>KRW거래금액 ÷ TotalSale(USD) = 환율</t>
        </is>
      </c>
      <c r="I34" s="21" t="inlineStr">
        <is>
          <t>환율</t>
        </is>
      </c>
      <c r="J34" s="22" t="n">
        <v>1714.18</v>
      </c>
      <c r="K34" s="20" t="n"/>
      <c r="L34" s="20" t="n"/>
    </row>
    <row r="35" ht="17" customHeight="1">
      <c r="A35" s="18" t="inlineStr">
        <is>
          <t>KRW정산금액 - (TotalSale × 환율) = 차액 (PG 수수료)</t>
        </is>
      </c>
      <c r="I35" s="21" t="inlineStr">
        <is>
          <t>차액</t>
        </is>
      </c>
      <c r="J35" s="19" t="n">
        <v>-330244</v>
      </c>
      <c r="K35" s="20" t="n"/>
      <c r="L35" s="20" t="n"/>
    </row>
    <row r="36" ht="17" customHeight="1">
      <c r="A36" s="18" t="inlineStr">
        <is>
          <t>광고비</t>
        </is>
      </c>
      <c r="I36" s="21" t="inlineStr">
        <is>
          <t>광고비</t>
        </is>
      </c>
      <c r="J36" s="20" t="n"/>
      <c r="K36" s="20" t="n"/>
      <c r="L36" s="20" t="n"/>
    </row>
    <row r="37" ht="20" customHeight="1">
      <c r="A37" s="23" t="inlineStr">
        <is>
          <t>최종 정산금 = KRW정산금액 - 광고비</t>
        </is>
      </c>
      <c r="I37" s="24" t="inlineStr">
        <is>
          <t>최종 정산금</t>
        </is>
      </c>
      <c r="J37" s="25" t="n">
        <v>16349394</v>
      </c>
      <c r="K37" s="26" t="n"/>
      <c r="L37" s="26" t="n"/>
    </row>
  </sheetData>
  <mergeCells count="6">
    <mergeCell ref="A33:I33"/>
    <mergeCell ref="A35:H35"/>
    <mergeCell ref="A1:L1"/>
    <mergeCell ref="A36:H36"/>
    <mergeCell ref="A37:H37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2026-04-09T02:24:56Z</dcterms:created>
  <dcterms:modified xmlns:dcterms="http://purl.org/dc/terms/" xmlns:xsi="http://www.w3.org/2001/XMLSchema-instance" xsi:type="dcterms:W3CDTF">2026-04-09T02:24:56Z</dcterms:modified>
</cp:coreProperties>
</file>